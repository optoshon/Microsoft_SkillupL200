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kframeworks1-my.sharepoint.com/personal/murthy_kolluru_tekframeworks_com/Documents/Training/Corporates/Zensar/CXO/"/>
    </mc:Choice>
  </mc:AlternateContent>
  <xr:revisionPtr revIDLastSave="110" documentId="8_{AEEC38A4-A830-4E14-ACEB-4E902731FB02}" xr6:coauthVersionLast="47" xr6:coauthVersionMax="47" xr10:uidLastSave="{9EEC685D-5E8F-4BBC-BCC1-A1FED24B41E1}"/>
  <bookViews>
    <workbookView xWindow="-110" yWindow="-110" windowWidth="19420" windowHeight="11500" activeTab="1" xr2:uid="{EBE50C3C-7181-4E80-893B-69C796C8B8B8}"/>
  </bookViews>
  <sheets>
    <sheet name="TCO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B12" i="2"/>
  <c r="C8" i="2"/>
  <c r="C6" i="2"/>
  <c r="C4" i="2"/>
  <c r="C3" i="2"/>
  <c r="B2" i="2"/>
  <c r="E3" i="1"/>
  <c r="F3" i="1" s="1"/>
  <c r="D3" i="1"/>
  <c r="C3" i="1"/>
  <c r="F2" i="1"/>
  <c r="B3" i="1"/>
  <c r="B2" i="1"/>
  <c r="C2" i="1" s="1"/>
  <c r="D2" i="1" s="1"/>
</calcChain>
</file>

<file path=xl/sharedStrings.xml><?xml version="1.0" encoding="utf-8"?>
<sst xmlns="http://schemas.openxmlformats.org/spreadsheetml/2006/main" count="27" uniqueCount="26">
  <si>
    <t>Tokens per transaction</t>
  </si>
  <si>
    <t>Words per transaction</t>
  </si>
  <si>
    <t>Annual cost</t>
  </si>
  <si>
    <t>Business case</t>
  </si>
  <si>
    <t xml:space="preserve">Quarterly regulatory horizon scan + exec briefing
Input: public RBI/SEBI/IRDAI circulars, global regs, public news
Output: 2–3 page “what changed + what to do” summary for COO/CRO
</t>
  </si>
  <si>
    <t>Cost per transaction ($)</t>
  </si>
  <si>
    <t>LLM/SLM</t>
  </si>
  <si>
    <t>LLM</t>
  </si>
  <si>
    <t>High-volume customer service triage + resolution drafting (chat/email/WhatsApp/call summaries)
Thousands to millions of interactions/month
Needs classification, next-best-action, draft replies, SOP grounding</t>
  </si>
  <si>
    <t>Annual transactions</t>
  </si>
  <si>
    <t>SLM</t>
  </si>
  <si>
    <t>Treasury / ALM / liquidity strategy copilot (or M&amp;A / board memo copilot)
Inputs: positions, counterparties, exposures, funding plans, internal strategy notes
Outputs: scenario narration, risk commentary, internal memos</t>
  </si>
  <si>
    <t>NA</t>
  </si>
  <si>
    <t>LLM/SLM size</t>
  </si>
  <si>
    <t>New weights added</t>
  </si>
  <si>
    <t>No. of tokens needed</t>
  </si>
  <si>
    <t>Weight of tokens in bytes</t>
  </si>
  <si>
    <t>Weight of all tokens in GB</t>
  </si>
  <si>
    <t>Duplicate data</t>
  </si>
  <si>
    <t>Total data needed (GB)</t>
  </si>
  <si>
    <t>How much of text</t>
  </si>
  <si>
    <t>Words per page</t>
  </si>
  <si>
    <t>Weight of a word (in bytes)</t>
  </si>
  <si>
    <t>Weight of a page</t>
  </si>
  <si>
    <t>Total pages</t>
  </si>
  <si>
    <t>In books of 400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</si>
</sst>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164" fontId="0" fillId="0" borderId="0" xfId="1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3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AFE0-F202-481F-829F-9E9ED439CCC8}">
  <dimension ref="A1:G8"/>
  <sheetViews>
    <sheetView workbookViewId="0"/>
  </sheetViews>
  <sheetFormatPr defaultRowHeight="18.5" x14ac:dyDescent="0.45"/>
  <cols>
    <col min="1" max="1" width="35.1328125" style="3" customWidth="1"/>
    <col min="2" max="2" width="18.33203125" style="3" customWidth="1"/>
    <col min="3" max="3" width="20.73046875" style="3" customWidth="1"/>
    <col min="4" max="5" width="19.06640625" style="3" customWidth="1"/>
    <col min="6" max="6" width="15.59765625" style="3" customWidth="1"/>
    <col min="7" max="7" width="12" style="3" customWidth="1"/>
    <col min="8" max="16384" width="9.06640625" style="3"/>
  </cols>
  <sheetData>
    <row r="1" spans="1:7" ht="37" x14ac:dyDescent="0.45">
      <c r="A1" s="2" t="s">
        <v>3</v>
      </c>
      <c r="B1" s="2" t="s">
        <v>1</v>
      </c>
      <c r="C1" s="2" t="s">
        <v>0</v>
      </c>
      <c r="D1" s="2" t="s">
        <v>5</v>
      </c>
      <c r="E1" s="2" t="s">
        <v>9</v>
      </c>
      <c r="F1" s="2" t="s">
        <v>2</v>
      </c>
      <c r="G1" s="3" t="s">
        <v>6</v>
      </c>
    </row>
    <row r="2" spans="1:7" ht="129.5" x14ac:dyDescent="0.45">
      <c r="A2" s="3" t="s">
        <v>4</v>
      </c>
      <c r="B2" s="3">
        <f>100*250+3*250</f>
        <v>25750</v>
      </c>
      <c r="C2" s="5">
        <f>B2/0.6</f>
        <v>42916.666666666672</v>
      </c>
      <c r="D2" s="4">
        <f>C2/1000000*10</f>
        <v>0.4291666666666667</v>
      </c>
      <c r="E2" s="4">
        <v>4</v>
      </c>
      <c r="F2" s="4">
        <f>E2*D2</f>
        <v>1.7166666666666668</v>
      </c>
      <c r="G2" s="3" t="s">
        <v>7</v>
      </c>
    </row>
    <row r="3" spans="1:7" ht="129.5" x14ac:dyDescent="0.45">
      <c r="A3" s="3" t="s">
        <v>8</v>
      </c>
      <c r="B3" s="3">
        <f>5*100</f>
        <v>500</v>
      </c>
      <c r="C3" s="5">
        <f>B3/0.6</f>
        <v>833.33333333333337</v>
      </c>
      <c r="D3" s="4">
        <f>C3/1000000*10</f>
        <v>8.3333333333333332E-3</v>
      </c>
      <c r="E3" s="6">
        <f>100000*365</f>
        <v>36500000</v>
      </c>
      <c r="F3" s="7">
        <f>E3*D3</f>
        <v>304166.66666666669</v>
      </c>
      <c r="G3" s="3" t="s">
        <v>10</v>
      </c>
    </row>
    <row r="4" spans="1:7" ht="129.5" x14ac:dyDescent="0.45">
      <c r="A4" s="3" t="s">
        <v>11</v>
      </c>
      <c r="B4" s="8" t="s">
        <v>12</v>
      </c>
      <c r="C4" s="8"/>
      <c r="D4" s="8"/>
      <c r="E4" s="8"/>
      <c r="F4" s="8"/>
      <c r="G4" s="3" t="s">
        <v>10</v>
      </c>
    </row>
    <row r="5" spans="1:7" x14ac:dyDescent="0.45">
      <c r="A5" s="1"/>
    </row>
    <row r="6" spans="1:7" x14ac:dyDescent="0.45">
      <c r="A6" s="1"/>
    </row>
    <row r="7" spans="1:7" x14ac:dyDescent="0.45">
      <c r="A7" s="1"/>
    </row>
    <row r="8" spans="1:7" x14ac:dyDescent="0.45">
      <c r="A8" s="1"/>
    </row>
  </sheetData>
  <mergeCells count="1"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DE86-D530-43DB-9DED-CF8109BA0A75}">
  <dimension ref="A2:C14"/>
  <sheetViews>
    <sheetView tabSelected="1" topLeftCell="A6" workbookViewId="0">
      <selection activeCell="A16" sqref="A16"/>
    </sheetView>
  </sheetViews>
  <sheetFormatPr defaultRowHeight="18.5" x14ac:dyDescent="0.45"/>
  <cols>
    <col min="1" max="1" width="18.6640625" style="9" customWidth="1"/>
    <col min="2" max="2" width="14.1328125" style="9" customWidth="1"/>
    <col min="3" max="3" width="15.1328125" style="9" customWidth="1"/>
    <col min="4" max="16384" width="9.06640625" style="9"/>
  </cols>
  <sheetData>
    <row r="2" spans="1:3" x14ac:dyDescent="0.45">
      <c r="A2" s="9" t="s">
        <v>13</v>
      </c>
      <c r="B2" s="9">
        <f>100000000000</f>
        <v>100000000000</v>
      </c>
    </row>
    <row r="3" spans="1:3" x14ac:dyDescent="0.45">
      <c r="A3" s="9" t="s">
        <v>14</v>
      </c>
      <c r="B3" s="10">
        <v>7.0000000000000001E-3</v>
      </c>
      <c r="C3" s="11">
        <f>B3*B2</f>
        <v>700000000</v>
      </c>
    </row>
    <row r="4" spans="1:3" x14ac:dyDescent="0.45">
      <c r="A4" s="9" t="s">
        <v>15</v>
      </c>
      <c r="B4" s="9">
        <v>20</v>
      </c>
      <c r="C4" s="12">
        <f>C3*B4</f>
        <v>14000000000</v>
      </c>
    </row>
    <row r="5" spans="1:3" ht="37" x14ac:dyDescent="0.45">
      <c r="A5" s="9" t="s">
        <v>16</v>
      </c>
      <c r="B5" s="9">
        <v>4</v>
      </c>
    </row>
    <row r="6" spans="1:3" ht="37" x14ac:dyDescent="0.45">
      <c r="A6" s="9" t="s">
        <v>17</v>
      </c>
      <c r="C6" s="13">
        <f>C4*B5/1024/1024/1024</f>
        <v>52.154064178466797</v>
      </c>
    </row>
    <row r="7" spans="1:3" x14ac:dyDescent="0.45">
      <c r="A7" s="9" t="s">
        <v>18</v>
      </c>
      <c r="B7" s="14">
        <v>0.2</v>
      </c>
    </row>
    <row r="8" spans="1:3" ht="37" x14ac:dyDescent="0.45">
      <c r="A8" s="9" t="s">
        <v>19</v>
      </c>
      <c r="C8" s="13">
        <f>C6/(1-B7)</f>
        <v>65.192580223083496</v>
      </c>
    </row>
    <row r="9" spans="1:3" x14ac:dyDescent="0.45">
      <c r="A9" s="9" t="s">
        <v>20</v>
      </c>
    </row>
    <row r="10" spans="1:3" x14ac:dyDescent="0.45">
      <c r="A10" s="9" t="s">
        <v>21</v>
      </c>
      <c r="B10" s="9">
        <v>250</v>
      </c>
    </row>
    <row r="11" spans="1:3" ht="37" x14ac:dyDescent="0.45">
      <c r="A11" s="9" t="s">
        <v>22</v>
      </c>
      <c r="B11" s="9">
        <v>6</v>
      </c>
    </row>
    <row r="12" spans="1:3" x14ac:dyDescent="0.45">
      <c r="A12" s="9" t="s">
        <v>23</v>
      </c>
      <c r="B12" s="9">
        <f>B11*B10</f>
        <v>1500</v>
      </c>
    </row>
    <row r="13" spans="1:3" x14ac:dyDescent="0.45">
      <c r="A13" s="9" t="s">
        <v>24</v>
      </c>
      <c r="C13" s="13">
        <f>C8*10^9/B12</f>
        <v>43461720.148722328</v>
      </c>
    </row>
    <row r="14" spans="1:3" x14ac:dyDescent="0.45">
      <c r="A14" s="9" t="s">
        <v>25</v>
      </c>
      <c r="C14" s="13">
        <f>C13/400</f>
        <v>108654.30037180582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Murthy Kolluru</dc:creator>
  <cp:lastModifiedBy>Murthy Kolluru</cp:lastModifiedBy>
  <dcterms:created xsi:type="dcterms:W3CDTF">2026-02-06T17:28:43Z</dcterms:created>
  <dcterms:modified xsi:type="dcterms:W3CDTF">2026-02-06T18:41:01Z</dcterms:modified>
</cp:coreProperties>
</file>